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yaoma/Desktop/Multiplier Effect Analysis/"/>
    </mc:Choice>
  </mc:AlternateContent>
  <xr:revisionPtr revIDLastSave="0" documentId="13_ncr:1_{AF375B45-38CC-5047-866A-742A1A1A3D0C}" xr6:coauthVersionLast="47" xr6:coauthVersionMax="47" xr10:uidLastSave="{00000000-0000-0000-0000-000000000000}"/>
  <bookViews>
    <workbookView xWindow="-3820" yWindow="-28800" windowWidth="51200" windowHeight="28800" xr2:uid="{6C8C5058-2BC8-AA47-B8C5-E6CE8BCFE5EF}"/>
  </bookViews>
  <sheets>
    <sheet name="总算表" sheetId="2" r:id="rId1"/>
    <sheet name="收入比" sheetId="3" r:id="rId2"/>
    <sheet name="农村可支配收入" sheetId="4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2" l="1"/>
  <c r="P5" i="2"/>
  <c r="P6" i="2"/>
  <c r="P7" i="2"/>
  <c r="P8" i="2"/>
  <c r="P9" i="2"/>
  <c r="P10" i="2"/>
  <c r="P11" i="2"/>
  <c r="P12" i="2"/>
  <c r="P13" i="2"/>
  <c r="P3" i="2"/>
  <c r="O3" i="2"/>
  <c r="F3" i="2"/>
  <c r="F4" i="2"/>
  <c r="F5" i="2"/>
  <c r="F6" i="2"/>
  <c r="F7" i="2"/>
  <c r="F8" i="2"/>
  <c r="F9" i="2"/>
  <c r="F10" i="2"/>
  <c r="F11" i="2"/>
  <c r="F12" i="2"/>
  <c r="F13" i="2"/>
  <c r="F2" i="2"/>
  <c r="H9" i="2" l="1"/>
  <c r="M9" i="2" s="1"/>
  <c r="J9" i="2" l="1"/>
  <c r="K9" i="2"/>
  <c r="I9" i="2"/>
  <c r="L9" i="2" s="1"/>
  <c r="H2" i="2"/>
  <c r="H3" i="2"/>
  <c r="H4" i="2"/>
  <c r="H5" i="2"/>
  <c r="H6" i="2"/>
  <c r="H7" i="2"/>
  <c r="H8" i="2"/>
  <c r="H10" i="2"/>
  <c r="H11" i="2"/>
  <c r="H12" i="2"/>
  <c r="H13" i="2"/>
  <c r="J3" i="1"/>
  <c r="J4" i="1"/>
  <c r="J5" i="1"/>
  <c r="J6" i="1"/>
  <c r="J7" i="1"/>
  <c r="J8" i="1"/>
  <c r="J9" i="1"/>
  <c r="J10" i="1"/>
  <c r="J11" i="1"/>
  <c r="J12" i="1"/>
  <c r="J13" i="1"/>
  <c r="J2" i="1"/>
  <c r="G12" i="1"/>
  <c r="H12" i="1" s="1"/>
  <c r="D13" i="1"/>
  <c r="I13" i="1" s="1"/>
  <c r="D12" i="1"/>
  <c r="I12" i="1" s="1"/>
  <c r="D11" i="1"/>
  <c r="I11" i="1" s="1"/>
  <c r="D10" i="1"/>
  <c r="I10" i="1" s="1"/>
  <c r="D9" i="1"/>
  <c r="I9" i="1" s="1"/>
  <c r="D8" i="1"/>
  <c r="I8" i="1" s="1"/>
  <c r="D7" i="1"/>
  <c r="I7" i="1" s="1"/>
  <c r="D6" i="1"/>
  <c r="I6" i="1" s="1"/>
  <c r="D5" i="1"/>
  <c r="I5" i="1" s="1"/>
  <c r="D4" i="1"/>
  <c r="I4" i="1" s="1"/>
  <c r="D3" i="1"/>
  <c r="I3" i="1" s="1"/>
  <c r="L2" i="1"/>
  <c r="D2" i="1"/>
  <c r="I2" i="1" s="1"/>
  <c r="J6" i="2" l="1"/>
  <c r="K6" i="2"/>
  <c r="K5" i="2"/>
  <c r="J5" i="2"/>
  <c r="J13" i="2"/>
  <c r="K13" i="2"/>
  <c r="K4" i="2"/>
  <c r="J4" i="2"/>
  <c r="J12" i="2"/>
  <c r="K12" i="2"/>
  <c r="J3" i="2"/>
  <c r="I3" i="2"/>
  <c r="L3" i="2" s="1"/>
  <c r="K3" i="2"/>
  <c r="K11" i="2"/>
  <c r="J11" i="2"/>
  <c r="K10" i="2"/>
  <c r="J10" i="2"/>
  <c r="J8" i="2"/>
  <c r="K8" i="2"/>
  <c r="J7" i="2"/>
  <c r="K7" i="2"/>
  <c r="M4" i="2"/>
  <c r="I4" i="2"/>
  <c r="L4" i="2" s="1"/>
  <c r="M12" i="2"/>
  <c r="I12" i="2"/>
  <c r="L12" i="2" s="1"/>
  <c r="M8" i="2"/>
  <c r="I8" i="2"/>
  <c r="L8" i="2" s="1"/>
  <c r="M5" i="2"/>
  <c r="I5" i="2"/>
  <c r="L5" i="2" s="1"/>
  <c r="M13" i="2"/>
  <c r="I13" i="2"/>
  <c r="L13" i="2" s="1"/>
  <c r="M3" i="2"/>
  <c r="M11" i="2"/>
  <c r="I11" i="2"/>
  <c r="L11" i="2" s="1"/>
  <c r="M10" i="2"/>
  <c r="I10" i="2"/>
  <c r="L10" i="2" s="1"/>
  <c r="M7" i="2"/>
  <c r="I7" i="2"/>
  <c r="L7" i="2" s="1"/>
  <c r="M6" i="2"/>
  <c r="I6" i="2"/>
  <c r="L6" i="2" s="1"/>
  <c r="N3" i="2"/>
  <c r="N6" i="2"/>
  <c r="O6" i="2"/>
  <c r="O13" i="2"/>
  <c r="N13" i="2"/>
  <c r="O5" i="2"/>
  <c r="N5" i="2"/>
  <c r="O12" i="2"/>
  <c r="N12" i="2"/>
  <c r="O4" i="2"/>
  <c r="N4" i="2"/>
  <c r="N11" i="2"/>
  <c r="O11" i="2"/>
  <c r="N10" i="2"/>
  <c r="O10" i="2"/>
  <c r="N9" i="2"/>
  <c r="O9" i="2"/>
  <c r="N8" i="2"/>
  <c r="O8" i="2"/>
  <c r="O7" i="2"/>
  <c r="N7" i="2"/>
  <c r="K12" i="1"/>
  <c r="G13" i="1"/>
  <c r="H13" i="1" s="1"/>
  <c r="K13" i="1" s="1"/>
  <c r="G9" i="1"/>
  <c r="H9" i="1" s="1"/>
  <c r="K9" i="1" s="1"/>
  <c r="G7" i="1"/>
  <c r="H7" i="1" s="1"/>
  <c r="K7" i="1" s="1"/>
  <c r="L7" i="1" s="1"/>
  <c r="G6" i="1"/>
  <c r="H6" i="1" s="1"/>
  <c r="K6" i="1" s="1"/>
  <c r="G5" i="1"/>
  <c r="H5" i="1" s="1"/>
  <c r="K5" i="1" s="1"/>
  <c r="L9" i="1"/>
  <c r="G3" i="1"/>
  <c r="G8" i="1"/>
  <c r="H8" i="1" s="1"/>
  <c r="G4" i="1"/>
  <c r="G11" i="1"/>
  <c r="G10" i="1"/>
  <c r="G2" i="1"/>
  <c r="H2" i="1" s="1"/>
  <c r="L13" i="1"/>
  <c r="L5" i="1"/>
  <c r="L6" i="1"/>
  <c r="L12" i="1"/>
  <c r="K8" i="1" l="1"/>
  <c r="L8" i="1" s="1"/>
  <c r="H3" i="1"/>
  <c r="H11" i="1"/>
  <c r="H10" i="1"/>
  <c r="H4" i="1"/>
  <c r="K4" i="1" l="1"/>
  <c r="L4" i="1" s="1"/>
  <c r="K10" i="1"/>
  <c r="L10" i="1" s="1"/>
  <c r="K11" i="1"/>
  <c r="L11" i="1" s="1"/>
  <c r="K3" i="1"/>
  <c r="L3" i="1" s="1"/>
</calcChain>
</file>

<file path=xl/sharedStrings.xml><?xml version="1.0" encoding="utf-8"?>
<sst xmlns="http://schemas.openxmlformats.org/spreadsheetml/2006/main" count="49" uniqueCount="31">
  <si>
    <t>Farmers' Share from LC (RMB)</t>
  </si>
  <si>
    <t>Collective Share from LC (RMB)</t>
  </si>
  <si>
    <t>Direct Benefit from LC (RMB/ppl)</t>
  </si>
  <si>
    <t>Indirect Benefit from LC (RMB/ppl)</t>
  </si>
  <si>
    <t>1.5-Multiplied Direct Benefit from LC (RMB/ppl)</t>
  </si>
  <si>
    <t>1.5-Multiplied Indirect Benefit from LC (RMB/ppl)</t>
  </si>
  <si>
    <t>Urban-Rural Income Ratio (ONLY with Multiplier-Effect of LC)</t>
  </si>
  <si>
    <t>Rural Disposable Income (ONLY with Multiplier-Effect of LC)</t>
  </si>
  <si>
    <t>Actual Rural Disposable Income</t>
  </si>
  <si>
    <t>Actual Urban Disposable Income</t>
  </si>
  <si>
    <t>Actual Urban-Rural Income Ratio</t>
  </si>
  <si>
    <t>Rural Population</t>
  </si>
  <si>
    <t>Urbanization Rate (%)</t>
  </si>
  <si>
    <t>Total Population</t>
  </si>
  <si>
    <t>Year</t>
  </si>
  <si>
    <t>Annual Revenue from LC (RMB)</t>
  </si>
  <si>
    <t>Cumulative Revenue from LC (RMB)</t>
  </si>
  <si>
    <t xml:space="preserve">LC Cumulative Revenue per capita </t>
  </si>
  <si>
    <t>Income Ratio</t>
  </si>
  <si>
    <t>Income Ratio (1.5x Multiplier)</t>
  </si>
  <si>
    <t>-</t>
  </si>
  <si>
    <t>Income Ratio (1.8x Multiplier)</t>
  </si>
  <si>
    <t>Income Ratio (1.2x Multiplier)</t>
  </si>
  <si>
    <t>Actual Urban-rural Income Ratio</t>
  </si>
  <si>
    <t>Rural Disposable Income(1.2x Multiplier)</t>
  </si>
  <si>
    <t>Rural Disposable Income(1.5x Multiplier)</t>
  </si>
  <si>
    <t>Rural Disposable Income(1.8x Multiplier)</t>
  </si>
  <si>
    <t xml:space="preserve">Cumulative Revenue from LC per capita </t>
  </si>
  <si>
    <t>Annual Revenue per capita  from LC (RMB)</t>
  </si>
  <si>
    <t>Rural Disposable Income(2.0x Multiplier)</t>
  </si>
  <si>
    <t>Income Ratio (2.0x Multiplier)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</si>
</sst>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rgb="FF000000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B2FE3-125F-2144-81DF-F72495D0D3C0}">
  <dimension ref="A1:S18"/>
  <sheetViews>
    <sheetView tabSelected="1" topLeftCell="G1" zoomScale="125" workbookViewId="0">
      <selection activeCell="L21" sqref="L21"/>
    </sheetView>
  </sheetViews>
  <sheetFormatPr baseColWidth="10" defaultRowHeight="16" x14ac:dyDescent="0.2"/>
  <cols>
    <col min="2" max="2" width="14.1640625" bestFit="1" customWidth="1"/>
    <col min="3" max="3" width="19" bestFit="1" customWidth="1"/>
    <col min="4" max="4" width="14.5" bestFit="1" customWidth="1"/>
    <col min="5" max="5" width="26.33203125" bestFit="1" customWidth="1"/>
    <col min="6" max="6" width="35.5" bestFit="1" customWidth="1"/>
    <col min="7" max="7" width="30.33203125" bestFit="1" customWidth="1"/>
    <col min="8" max="8" width="29.6640625" bestFit="1" customWidth="1"/>
    <col min="9" max="13" width="29.6640625" customWidth="1"/>
    <col min="14" max="16" width="25.33203125" bestFit="1" customWidth="1"/>
  </cols>
  <sheetData>
    <row r="1" spans="1:19" x14ac:dyDescent="0.2">
      <c r="A1" s="1" t="s">
        <v>14</v>
      </c>
      <c r="B1" s="1" t="s">
        <v>13</v>
      </c>
      <c r="C1" s="1" t="s">
        <v>12</v>
      </c>
      <c r="D1" s="2" t="s">
        <v>11</v>
      </c>
      <c r="E1" s="1" t="s">
        <v>15</v>
      </c>
      <c r="F1" s="1" t="s">
        <v>28</v>
      </c>
      <c r="G1" s="1" t="s">
        <v>16</v>
      </c>
      <c r="H1" s="3" t="s">
        <v>17</v>
      </c>
      <c r="I1" s="1" t="s">
        <v>24</v>
      </c>
      <c r="J1" s="1" t="s">
        <v>25</v>
      </c>
      <c r="K1" s="1" t="s">
        <v>26</v>
      </c>
      <c r="L1" s="1" t="s">
        <v>29</v>
      </c>
      <c r="M1" s="8" t="s">
        <v>22</v>
      </c>
      <c r="N1" s="8" t="s">
        <v>19</v>
      </c>
      <c r="O1" s="8" t="s">
        <v>21</v>
      </c>
      <c r="P1" s="8" t="s">
        <v>30</v>
      </c>
      <c r="Q1" s="11" t="s">
        <v>18</v>
      </c>
      <c r="R1" s="10" t="s">
        <v>8</v>
      </c>
      <c r="S1" s="11" t="s">
        <v>9</v>
      </c>
    </row>
    <row r="2" spans="1:19" x14ac:dyDescent="0.2">
      <c r="A2" s="1">
        <v>2008</v>
      </c>
      <c r="B2" s="4">
        <v>2839</v>
      </c>
      <c r="C2" s="4">
        <v>49.99</v>
      </c>
      <c r="D2" s="2">
        <v>14197838.999999998</v>
      </c>
      <c r="E2" s="2">
        <v>89799999.181799993</v>
      </c>
      <c r="F2" s="2">
        <f>E2/D2</f>
        <v>6.3249061481680418</v>
      </c>
      <c r="G2" s="2">
        <v>89799999.181799993</v>
      </c>
      <c r="H2" s="3">
        <f>G2/D2</f>
        <v>6.3249061481680418</v>
      </c>
      <c r="I2" s="3"/>
      <c r="J2" s="3"/>
      <c r="K2" s="3"/>
      <c r="L2" s="3"/>
      <c r="M2" s="8" t="s">
        <v>20</v>
      </c>
      <c r="N2" s="8" t="s">
        <v>20</v>
      </c>
      <c r="O2" s="3" t="s">
        <v>20</v>
      </c>
      <c r="P2" s="3" t="s">
        <v>20</v>
      </c>
      <c r="Q2" s="3">
        <v>3.482021031406545</v>
      </c>
      <c r="R2" s="3">
        <v>4126.21</v>
      </c>
      <c r="S2" s="3">
        <v>14367.55</v>
      </c>
    </row>
    <row r="3" spans="1:19" x14ac:dyDescent="0.2">
      <c r="A3" s="1">
        <v>2009</v>
      </c>
      <c r="B3" s="4">
        <v>2859</v>
      </c>
      <c r="C3" s="4">
        <v>51.59</v>
      </c>
      <c r="D3" s="2">
        <v>13840419</v>
      </c>
      <c r="E3" s="2">
        <v>1199349730.605</v>
      </c>
      <c r="F3" s="2">
        <f t="shared" ref="F3:F13" si="0">E3/D3</f>
        <v>86.655594068720035</v>
      </c>
      <c r="G3" s="2">
        <v>1289149729.7867999</v>
      </c>
      <c r="H3" s="3">
        <f t="shared" ref="H3:H13" si="1">G3/D3</f>
        <v>93.143836887221397</v>
      </c>
      <c r="I3" s="3">
        <f>4126.21+1.2*H3</f>
        <v>4237.9826042646655</v>
      </c>
      <c r="J3" s="3">
        <f>4126.21+1.5*H3</f>
        <v>4265.9257553308325</v>
      </c>
      <c r="K3" s="3">
        <f>4126.21+1.8*H3</f>
        <v>4293.8689063969987</v>
      </c>
      <c r="L3" s="3">
        <f>4126.21+2*I3</f>
        <v>12602.17520852933</v>
      </c>
      <c r="M3" s="8">
        <f t="shared" ref="M3:M13" si="2">S3/(4126.21+H3*1.2)</f>
        <v>3.7160770750102121</v>
      </c>
      <c r="N3" s="8">
        <f t="shared" ref="N3:N13" si="3">S3/(4126.21+H3*1.5)</f>
        <v>3.6917356051778389</v>
      </c>
      <c r="O3" s="8">
        <f>S3/(4126.21+H3*1.8)</f>
        <v>3.6677109486360093</v>
      </c>
      <c r="P3" s="8">
        <f>S3/(4126.21+H3*2)</f>
        <v>3.6518674771170914</v>
      </c>
      <c r="Q3" s="3">
        <v>3.5166233099244137</v>
      </c>
      <c r="R3" s="3">
        <v>4478.3500000000004</v>
      </c>
      <c r="S3" s="3">
        <v>15748.67</v>
      </c>
    </row>
    <row r="4" spans="1:19" x14ac:dyDescent="0.2">
      <c r="A4" s="1">
        <v>2010</v>
      </c>
      <c r="B4" s="4">
        <v>2884.62</v>
      </c>
      <c r="C4" s="4">
        <v>53.02</v>
      </c>
      <c r="D4" s="2">
        <v>13551944.76</v>
      </c>
      <c r="E4" s="2">
        <v>3330076499.5188003</v>
      </c>
      <c r="F4" s="2">
        <f t="shared" si="0"/>
        <v>245.72683540947375</v>
      </c>
      <c r="G4" s="2">
        <v>4619226229.3056002</v>
      </c>
      <c r="H4" s="3">
        <f t="shared" si="1"/>
        <v>340.85338385821461</v>
      </c>
      <c r="I4" s="3">
        <f t="shared" ref="I4:I13" si="4">4126.21+1.2*H4</f>
        <v>4535.2340606298576</v>
      </c>
      <c r="J4" s="3">
        <f t="shared" ref="J4:J13" si="5">4126.21+1.5*H4</f>
        <v>4637.490075787322</v>
      </c>
      <c r="K4" s="3">
        <f t="shared" ref="K4:K13" si="6">4126.21+1.8*H4</f>
        <v>4739.7460909447864</v>
      </c>
      <c r="L4" s="3">
        <f t="shared" ref="L4:L13" si="7">4126.21+2*I4</f>
        <v>13196.678121259716</v>
      </c>
      <c r="M4" s="8">
        <f t="shared" si="2"/>
        <v>3.8658269376211818</v>
      </c>
      <c r="N4" s="8">
        <f t="shared" si="3"/>
        <v>3.7805859879977128</v>
      </c>
      <c r="O4" s="8">
        <f t="shared" ref="O3:P13" si="8">S4/(4126.21+H4*1.8)</f>
        <v>3.6990230412332519</v>
      </c>
      <c r="P4" s="8">
        <f t="shared" ref="P4:P13" si="9">S4/(4126.21+H4*2)</f>
        <v>3.6465751898461445</v>
      </c>
      <c r="Q4" s="3">
        <v>3.3226378049751171</v>
      </c>
      <c r="R4" s="3">
        <v>5276.66</v>
      </c>
      <c r="S4" s="3">
        <v>17532.43</v>
      </c>
    </row>
    <row r="5" spans="1:19" x14ac:dyDescent="0.2">
      <c r="A5" s="1">
        <v>2011</v>
      </c>
      <c r="B5" s="4">
        <v>2944.43</v>
      </c>
      <c r="C5" s="4">
        <v>54.98</v>
      </c>
      <c r="D5" s="2">
        <v>13255823.860000001</v>
      </c>
      <c r="E5" s="2">
        <v>12918269753.977501</v>
      </c>
      <c r="F5" s="2">
        <f t="shared" si="0"/>
        <v>974.5354110323475</v>
      </c>
      <c r="G5" s="2">
        <v>17537495983.2831</v>
      </c>
      <c r="H5" s="3">
        <f t="shared" si="1"/>
        <v>1323.0030942251144</v>
      </c>
      <c r="I5" s="3">
        <f t="shared" si="4"/>
        <v>5713.8137130701371</v>
      </c>
      <c r="J5" s="3">
        <f t="shared" si="5"/>
        <v>6110.7146413376722</v>
      </c>
      <c r="K5" s="3">
        <f t="shared" si="6"/>
        <v>6507.6155696052065</v>
      </c>
      <c r="L5" s="3">
        <f t="shared" si="7"/>
        <v>15553.837426140275</v>
      </c>
      <c r="M5" s="8">
        <f t="shared" si="2"/>
        <v>3.5439902343472562</v>
      </c>
      <c r="N5" s="8">
        <f t="shared" si="3"/>
        <v>3.3138022618525058</v>
      </c>
      <c r="O5" s="8">
        <f t="shared" si="8"/>
        <v>3.1116927211526231</v>
      </c>
      <c r="P5" s="8">
        <f t="shared" si="9"/>
        <v>2.9901142309271127</v>
      </c>
      <c r="Q5" s="3">
        <v>3.124755995376836</v>
      </c>
      <c r="R5" s="3">
        <v>6480.41</v>
      </c>
      <c r="S5" s="3">
        <v>20249.7</v>
      </c>
    </row>
    <row r="6" spans="1:19" x14ac:dyDescent="0.2">
      <c r="A6" s="1">
        <v>2012</v>
      </c>
      <c r="B6" s="4">
        <v>2974.88</v>
      </c>
      <c r="C6" s="4">
        <v>56.64</v>
      </c>
      <c r="D6" s="2">
        <v>12899079.68</v>
      </c>
      <c r="E6" s="2">
        <v>4664559482.6337004</v>
      </c>
      <c r="F6" s="2">
        <f t="shared" si="0"/>
        <v>361.61955723601676</v>
      </c>
      <c r="G6" s="2">
        <v>22202055465.916801</v>
      </c>
      <c r="H6" s="3">
        <f t="shared" si="1"/>
        <v>1721.2123668280808</v>
      </c>
      <c r="I6" s="3">
        <f t="shared" si="4"/>
        <v>6191.6648401936964</v>
      </c>
      <c r="J6" s="3">
        <f t="shared" si="5"/>
        <v>6708.0285502421211</v>
      </c>
      <c r="K6" s="3">
        <f t="shared" si="6"/>
        <v>7224.3922602905459</v>
      </c>
      <c r="L6" s="3">
        <f t="shared" si="7"/>
        <v>16509.539680387392</v>
      </c>
      <c r="M6" s="8">
        <f t="shared" si="2"/>
        <v>3.709525724147801</v>
      </c>
      <c r="N6" s="8">
        <f t="shared" si="3"/>
        <v>3.4239776751055988</v>
      </c>
      <c r="O6" s="8">
        <f t="shared" si="8"/>
        <v>3.179248741274229</v>
      </c>
      <c r="P6" s="8">
        <f t="shared" si="9"/>
        <v>3.0346477017665294</v>
      </c>
      <c r="Q6" s="3">
        <v>3.1108357137149256</v>
      </c>
      <c r="R6" s="3">
        <v>7383.27</v>
      </c>
      <c r="S6" s="3">
        <v>22968.14</v>
      </c>
    </row>
    <row r="7" spans="1:19" x14ac:dyDescent="0.2">
      <c r="A7" s="1">
        <v>2013</v>
      </c>
      <c r="B7" s="4">
        <v>3011.03</v>
      </c>
      <c r="C7" s="4">
        <v>58.29</v>
      </c>
      <c r="D7" s="2">
        <v>12559006.130000003</v>
      </c>
      <c r="E7" s="2">
        <v>4523690418.2911997</v>
      </c>
      <c r="F7" s="2">
        <f t="shared" si="0"/>
        <v>360.19493672236933</v>
      </c>
      <c r="G7" s="2">
        <v>26725745884.208</v>
      </c>
      <c r="H7" s="3">
        <f t="shared" si="1"/>
        <v>2128.0143991941818</v>
      </c>
      <c r="I7" s="3">
        <f t="shared" si="4"/>
        <v>6679.8272790330175</v>
      </c>
      <c r="J7" s="3">
        <f t="shared" si="5"/>
        <v>7318.2315987912725</v>
      </c>
      <c r="K7" s="3">
        <f t="shared" si="6"/>
        <v>7956.6359185495276</v>
      </c>
      <c r="L7" s="3">
        <f t="shared" si="7"/>
        <v>17485.864558066034</v>
      </c>
      <c r="M7" s="8">
        <f t="shared" si="2"/>
        <v>3.7749673676667772</v>
      </c>
      <c r="N7" s="8">
        <f t="shared" si="3"/>
        <v>3.4456589217762477</v>
      </c>
      <c r="O7" s="8">
        <f t="shared" si="8"/>
        <v>3.1691949032395628</v>
      </c>
      <c r="P7" s="8">
        <f t="shared" si="9"/>
        <v>3.0082810340416759</v>
      </c>
      <c r="Q7" s="3">
        <v>3.0264307240664574</v>
      </c>
      <c r="R7" s="3">
        <v>8331.9699999999993</v>
      </c>
      <c r="S7" s="3">
        <v>25216.13</v>
      </c>
    </row>
    <row r="8" spans="1:19" x14ac:dyDescent="0.2">
      <c r="A8" s="1">
        <v>2014</v>
      </c>
      <c r="B8" s="4">
        <v>3043.48</v>
      </c>
      <c r="C8" s="4">
        <v>59.74</v>
      </c>
      <c r="D8" s="2">
        <v>12253050.479999999</v>
      </c>
      <c r="E8" s="2">
        <v>3916610208.1262002</v>
      </c>
      <c r="F8" s="2">
        <f t="shared" si="0"/>
        <v>319.6436850169739</v>
      </c>
      <c r="G8" s="2">
        <v>30642356092.334202</v>
      </c>
      <c r="H8" s="3">
        <f t="shared" si="1"/>
        <v>2500.7940791846149</v>
      </c>
      <c r="I8" s="3">
        <f t="shared" si="4"/>
        <v>7127.1628950215381</v>
      </c>
      <c r="J8" s="3">
        <f t="shared" si="5"/>
        <v>7877.4011187769229</v>
      </c>
      <c r="K8" s="3">
        <f t="shared" si="6"/>
        <v>8627.6393425323076</v>
      </c>
      <c r="L8" s="3">
        <f t="shared" si="7"/>
        <v>18380.535790043075</v>
      </c>
      <c r="M8" s="8">
        <f t="shared" si="2"/>
        <v>3.5283604949685952</v>
      </c>
      <c r="N8" s="8">
        <f t="shared" si="3"/>
        <v>3.1923218864731946</v>
      </c>
      <c r="O8" s="8">
        <f t="shared" si="8"/>
        <v>2.9147254540451177</v>
      </c>
      <c r="P8" s="8">
        <f t="shared" si="9"/>
        <v>2.7550127165052025</v>
      </c>
      <c r="Q8" s="3">
        <v>2.649918860249953</v>
      </c>
      <c r="R8" s="3">
        <v>9489.7999999999993</v>
      </c>
      <c r="S8" s="3">
        <v>25147.200000000001</v>
      </c>
    </row>
    <row r="9" spans="1:19" x14ac:dyDescent="0.2">
      <c r="A9" s="1">
        <v>2015</v>
      </c>
      <c r="B9" s="4">
        <v>3070.02</v>
      </c>
      <c r="C9" s="4">
        <v>61.47</v>
      </c>
      <c r="D9" s="2">
        <v>11828787.060000001</v>
      </c>
      <c r="E9" s="2">
        <v>4930978983.4031992</v>
      </c>
      <c r="F9" s="2">
        <f t="shared" si="0"/>
        <v>416.86260462644589</v>
      </c>
      <c r="G9" s="2">
        <v>35573335075.737404</v>
      </c>
      <c r="H9" s="3">
        <f>G9/D9</f>
        <v>3007.3527315434994</v>
      </c>
      <c r="I9" s="3">
        <f t="shared" si="4"/>
        <v>7735.0332778521988</v>
      </c>
      <c r="J9" s="3">
        <f t="shared" si="5"/>
        <v>8637.2390973152505</v>
      </c>
      <c r="K9" s="3">
        <f t="shared" si="6"/>
        <v>9539.4449167782986</v>
      </c>
      <c r="L9" s="3">
        <f t="shared" si="7"/>
        <v>19596.276555704397</v>
      </c>
      <c r="M9" s="8">
        <f t="shared" si="2"/>
        <v>3.5214845265104597</v>
      </c>
      <c r="N9" s="8">
        <f t="shared" si="3"/>
        <v>3.1536466332704336</v>
      </c>
      <c r="O9" s="8">
        <f t="shared" si="8"/>
        <v>2.8553862659337206</v>
      </c>
      <c r="P9" s="8">
        <f t="shared" si="9"/>
        <v>2.6860296882613226</v>
      </c>
      <c r="Q9" s="3">
        <v>2.5930107475701352</v>
      </c>
      <c r="R9" s="3">
        <v>10504.7</v>
      </c>
      <c r="S9" s="3">
        <v>27238.799999999999</v>
      </c>
    </row>
    <row r="10" spans="1:19" x14ac:dyDescent="0.2">
      <c r="A10" s="1">
        <v>2016</v>
      </c>
      <c r="B10" s="4">
        <v>3109.96</v>
      </c>
      <c r="C10" s="4">
        <v>63.33</v>
      </c>
      <c r="D10" s="2">
        <v>11404223.32</v>
      </c>
      <c r="E10" s="2">
        <v>4408627380</v>
      </c>
      <c r="F10" s="2">
        <f t="shared" si="0"/>
        <v>386.57848555705061</v>
      </c>
      <c r="G10" s="2">
        <v>39981962455.737404</v>
      </c>
      <c r="H10" s="3">
        <f t="shared" si="1"/>
        <v>3505.8908733942089</v>
      </c>
      <c r="I10" s="3">
        <f t="shared" si="4"/>
        <v>8333.2790480730509</v>
      </c>
      <c r="J10" s="3">
        <f t="shared" si="5"/>
        <v>9385.0463100913148</v>
      </c>
      <c r="K10" s="3">
        <f t="shared" si="6"/>
        <v>10436.813572109575</v>
      </c>
      <c r="L10" s="3">
        <f t="shared" si="7"/>
        <v>20792.768096146101</v>
      </c>
      <c r="M10" s="8">
        <f t="shared" si="2"/>
        <v>3.5532187948088541</v>
      </c>
      <c r="N10" s="8">
        <f t="shared" si="3"/>
        <v>3.1550151973317115</v>
      </c>
      <c r="O10" s="8">
        <f t="shared" si="8"/>
        <v>2.837069334564629</v>
      </c>
      <c r="P10" s="8">
        <f t="shared" si="9"/>
        <v>2.6584652250741594</v>
      </c>
      <c r="Q10" s="3">
        <v>2.5639009977163054</v>
      </c>
      <c r="R10" s="3">
        <v>11548.793718000001</v>
      </c>
      <c r="S10" s="3">
        <v>29609.963736000002</v>
      </c>
    </row>
    <row r="11" spans="1:19" x14ac:dyDescent="0.2">
      <c r="A11" s="1">
        <v>2017</v>
      </c>
      <c r="B11" s="4">
        <v>3143.51</v>
      </c>
      <c r="C11" s="4">
        <v>65</v>
      </c>
      <c r="D11" s="2">
        <v>11002285</v>
      </c>
      <c r="E11" s="2">
        <v>7492458232.047471</v>
      </c>
      <c r="F11" s="2">
        <f t="shared" si="0"/>
        <v>680.99110612454331</v>
      </c>
      <c r="G11" s="2">
        <v>47474420687.784874</v>
      </c>
      <c r="H11" s="3">
        <f t="shared" si="1"/>
        <v>4314.9600912705746</v>
      </c>
      <c r="I11" s="3">
        <f t="shared" si="4"/>
        <v>9304.1621095246883</v>
      </c>
      <c r="J11" s="3">
        <f t="shared" si="5"/>
        <v>10598.650136905861</v>
      </c>
      <c r="K11" s="3">
        <f t="shared" si="6"/>
        <v>11893.138164287035</v>
      </c>
      <c r="L11" s="3">
        <f t="shared" si="7"/>
        <v>22734.534219049376</v>
      </c>
      <c r="M11" s="8">
        <f t="shared" si="2"/>
        <v>3.4600888809228865</v>
      </c>
      <c r="N11" s="8">
        <f t="shared" si="3"/>
        <v>3.0374837781812842</v>
      </c>
      <c r="O11" s="8">
        <f t="shared" si="8"/>
        <v>2.7068741165507437</v>
      </c>
      <c r="P11" s="8">
        <f t="shared" si="9"/>
        <v>2.5237456345132081</v>
      </c>
      <c r="Q11" s="3">
        <v>2.5473537476015999</v>
      </c>
      <c r="R11" s="3">
        <v>12637.9101810187</v>
      </c>
      <c r="S11" s="3">
        <v>32193.227861470401</v>
      </c>
    </row>
    <row r="12" spans="1:19" x14ac:dyDescent="0.2">
      <c r="A12" s="1">
        <v>2018</v>
      </c>
      <c r="B12" s="4">
        <v>3163.14</v>
      </c>
      <c r="C12" s="4">
        <v>66.61</v>
      </c>
      <c r="D12" s="2">
        <v>10561724.459999997</v>
      </c>
      <c r="E12" s="2">
        <v>2511141006.5999999</v>
      </c>
      <c r="F12" s="2">
        <f t="shared" si="0"/>
        <v>237.75861755439135</v>
      </c>
      <c r="G12" s="2">
        <v>49985561694.384872</v>
      </c>
      <c r="H12" s="3">
        <f t="shared" si="1"/>
        <v>4732.70836440519</v>
      </c>
      <c r="I12" s="3">
        <f t="shared" si="4"/>
        <v>9805.4600372862278</v>
      </c>
      <c r="J12" s="3">
        <f t="shared" si="5"/>
        <v>11225.272546607786</v>
      </c>
      <c r="K12" s="3">
        <f t="shared" si="6"/>
        <v>12645.085055929343</v>
      </c>
      <c r="L12" s="3">
        <f t="shared" si="7"/>
        <v>23737.130074572455</v>
      </c>
      <c r="M12" s="8">
        <f t="shared" si="2"/>
        <v>3.5581502950497681</v>
      </c>
      <c r="N12" s="8">
        <f t="shared" si="3"/>
        <v>3.1081027547355231</v>
      </c>
      <c r="O12" s="8">
        <f t="shared" si="8"/>
        <v>2.7591194816367755</v>
      </c>
      <c r="P12" s="8">
        <f t="shared" si="9"/>
        <v>2.5669701810463432</v>
      </c>
      <c r="Q12" s="3">
        <v>2.5316545455953841</v>
      </c>
      <c r="R12" s="3">
        <v>13781.224845810701</v>
      </c>
      <c r="S12" s="3">
        <v>34889.300524768703</v>
      </c>
    </row>
    <row r="13" spans="1:19" x14ac:dyDescent="0.2">
      <c r="A13" s="1">
        <v>2019</v>
      </c>
      <c r="B13" s="4">
        <v>3187.84</v>
      </c>
      <c r="C13" s="4">
        <v>68.239999999999995</v>
      </c>
      <c r="D13" s="2">
        <v>10124579.840000004</v>
      </c>
      <c r="E13" s="2">
        <v>4705978179</v>
      </c>
      <c r="F13" s="2">
        <f t="shared" si="0"/>
        <v>464.80725653500286</v>
      </c>
      <c r="G13" s="2">
        <v>54691539873.384872</v>
      </c>
      <c r="H13" s="3">
        <f t="shared" si="1"/>
        <v>5401.8577301658033</v>
      </c>
      <c r="I13" s="3">
        <f t="shared" si="4"/>
        <v>10608.439276198964</v>
      </c>
      <c r="J13" s="3">
        <f t="shared" si="5"/>
        <v>12228.996595248704</v>
      </c>
      <c r="K13" s="3">
        <f t="shared" si="6"/>
        <v>13849.553914298445</v>
      </c>
      <c r="L13" s="3">
        <f t="shared" si="7"/>
        <v>25343.088552397927</v>
      </c>
      <c r="M13" s="8">
        <f t="shared" si="2"/>
        <v>3.5762650928537543</v>
      </c>
      <c r="N13" s="8">
        <f t="shared" si="3"/>
        <v>3.1023470141343625</v>
      </c>
      <c r="O13" s="8">
        <f t="shared" si="8"/>
        <v>2.7393366824588368</v>
      </c>
      <c r="P13" s="8">
        <f t="shared" si="9"/>
        <v>2.541110548336686</v>
      </c>
      <c r="Q13" s="3">
        <v>2.5069666070464733</v>
      </c>
      <c r="R13" s="3">
        <v>15133.265423836499</v>
      </c>
      <c r="S13" s="3">
        <v>37938.591073129101</v>
      </c>
    </row>
    <row r="14" spans="1:19" x14ac:dyDescent="0.2">
      <c r="E14" s="2"/>
      <c r="F14" s="2"/>
      <c r="G14" s="2"/>
    </row>
    <row r="15" spans="1:19" x14ac:dyDescent="0.2">
      <c r="E15" s="2"/>
      <c r="F15" s="2"/>
      <c r="G15" s="2"/>
    </row>
    <row r="16" spans="1:19" x14ac:dyDescent="0.2">
      <c r="E16" s="2"/>
      <c r="F16" s="2"/>
      <c r="G16" s="2"/>
    </row>
    <row r="17" spans="5:7" x14ac:dyDescent="0.2">
      <c r="E17" s="2"/>
      <c r="F17" s="2"/>
      <c r="G17" s="2"/>
    </row>
    <row r="18" spans="5:7" x14ac:dyDescent="0.2">
      <c r="E18" s="2"/>
      <c r="F18" s="2"/>
      <c r="G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A431-D036-1443-A194-F51A5BEBB268}">
  <dimension ref="A1:E12"/>
  <sheetViews>
    <sheetView workbookViewId="0">
      <selection activeCell="D13" sqref="D13"/>
    </sheetView>
  </sheetViews>
  <sheetFormatPr baseColWidth="10" defaultRowHeight="16" x14ac:dyDescent="0.2"/>
  <sheetData>
    <row r="1" spans="1:5" x14ac:dyDescent="0.2">
      <c r="A1" s="13" t="s">
        <v>14</v>
      </c>
      <c r="B1" s="12" t="s">
        <v>23</v>
      </c>
      <c r="C1" s="12" t="s">
        <v>22</v>
      </c>
      <c r="D1" s="12" t="s">
        <v>19</v>
      </c>
      <c r="E1" s="12" t="s">
        <v>21</v>
      </c>
    </row>
    <row r="2" spans="1:5" x14ac:dyDescent="0.2">
      <c r="A2" s="1">
        <v>2009</v>
      </c>
      <c r="B2">
        <v>3.5166233099244137</v>
      </c>
      <c r="C2">
        <v>3.7160770750102121</v>
      </c>
      <c r="D2">
        <v>3.6917356051778389</v>
      </c>
      <c r="E2">
        <v>3.6677109486360093</v>
      </c>
    </row>
    <row r="3" spans="1:5" x14ac:dyDescent="0.2">
      <c r="A3" s="1">
        <v>2010</v>
      </c>
      <c r="B3">
        <v>3.3226378049751171</v>
      </c>
      <c r="C3">
        <v>3.8658269376211818</v>
      </c>
      <c r="D3">
        <v>3.7805859879977128</v>
      </c>
      <c r="E3">
        <v>3.6990230412332519</v>
      </c>
    </row>
    <row r="4" spans="1:5" x14ac:dyDescent="0.2">
      <c r="A4" s="1">
        <v>2011</v>
      </c>
      <c r="B4">
        <v>3.124755995376836</v>
      </c>
      <c r="C4">
        <v>3.5439902343472562</v>
      </c>
      <c r="D4">
        <v>3.3138022618525058</v>
      </c>
      <c r="E4">
        <v>3.1116927211526231</v>
      </c>
    </row>
    <row r="5" spans="1:5" x14ac:dyDescent="0.2">
      <c r="A5" s="1">
        <v>2012</v>
      </c>
      <c r="B5">
        <v>3.1108357137149256</v>
      </c>
      <c r="C5">
        <v>3.709525724147801</v>
      </c>
      <c r="D5">
        <v>3.4239776751055988</v>
      </c>
      <c r="E5">
        <v>3.179248741274229</v>
      </c>
    </row>
    <row r="6" spans="1:5" x14ac:dyDescent="0.2">
      <c r="A6" s="1">
        <v>2013</v>
      </c>
      <c r="B6">
        <v>3.0264307240664574</v>
      </c>
      <c r="C6">
        <v>3.7749673676667772</v>
      </c>
      <c r="D6">
        <v>3.4456589217762477</v>
      </c>
      <c r="E6">
        <v>3.1691949032395628</v>
      </c>
    </row>
    <row r="7" spans="1:5" x14ac:dyDescent="0.2">
      <c r="A7" s="1">
        <v>2014</v>
      </c>
      <c r="B7">
        <v>2.649918860249953</v>
      </c>
      <c r="C7">
        <v>3.5283604949685952</v>
      </c>
      <c r="D7">
        <v>3.1923218864731946</v>
      </c>
      <c r="E7">
        <v>2.9147254540451177</v>
      </c>
    </row>
    <row r="8" spans="1:5" x14ac:dyDescent="0.2">
      <c r="A8" s="1">
        <v>2015</v>
      </c>
      <c r="B8">
        <v>2.5930107475701352</v>
      </c>
      <c r="C8">
        <v>3.5214845265104597</v>
      </c>
      <c r="D8">
        <v>3.1536466332704336</v>
      </c>
      <c r="E8">
        <v>2.8553862659337206</v>
      </c>
    </row>
    <row r="9" spans="1:5" x14ac:dyDescent="0.2">
      <c r="A9" s="1">
        <v>2016</v>
      </c>
      <c r="B9">
        <v>2.5639009977163054</v>
      </c>
      <c r="C9">
        <v>3.5532187948088541</v>
      </c>
      <c r="D9">
        <v>3.1550151973317115</v>
      </c>
      <c r="E9">
        <v>2.837069334564629</v>
      </c>
    </row>
    <row r="10" spans="1:5" x14ac:dyDescent="0.2">
      <c r="A10" s="1">
        <v>2017</v>
      </c>
      <c r="B10">
        <v>2.5473537476015999</v>
      </c>
      <c r="C10">
        <v>3.4600888809228865</v>
      </c>
      <c r="D10">
        <v>3.0374837781812842</v>
      </c>
      <c r="E10">
        <v>2.7068741165507437</v>
      </c>
    </row>
    <row r="11" spans="1:5" x14ac:dyDescent="0.2">
      <c r="A11" s="1">
        <v>2018</v>
      </c>
      <c r="B11">
        <v>2.5316545455953841</v>
      </c>
      <c r="C11">
        <v>3.5581502950497681</v>
      </c>
      <c r="D11">
        <v>3.1081027547355231</v>
      </c>
      <c r="E11">
        <v>2.7591194816367755</v>
      </c>
    </row>
    <row r="12" spans="1:5" x14ac:dyDescent="0.2">
      <c r="A12" s="1">
        <v>2019</v>
      </c>
      <c r="B12">
        <v>2.5069666070464733</v>
      </c>
      <c r="C12">
        <v>3.5762650928537543</v>
      </c>
      <c r="D12">
        <v>3.1023470141343625</v>
      </c>
      <c r="E12">
        <v>2.7393366824588368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EB1BC-F1A8-0C4B-98A7-3C90E6FA3C9A}">
  <dimension ref="A1:G12"/>
  <sheetViews>
    <sheetView workbookViewId="0">
      <selection activeCell="B16" sqref="B16"/>
    </sheetView>
  </sheetViews>
  <sheetFormatPr baseColWidth="10" defaultRowHeight="16" x14ac:dyDescent="0.2"/>
  <cols>
    <col min="2" max="2" width="25.6640625" bestFit="1" customWidth="1"/>
    <col min="3" max="3" width="30" bestFit="1" customWidth="1"/>
  </cols>
  <sheetData>
    <row r="1" spans="1:7" x14ac:dyDescent="0.2">
      <c r="A1" s="13" t="s">
        <v>14</v>
      </c>
      <c r="B1" s="10" t="s">
        <v>8</v>
      </c>
      <c r="C1" s="12" t="s">
        <v>27</v>
      </c>
      <c r="D1" s="12" t="s">
        <v>24</v>
      </c>
      <c r="E1" s="12" t="s">
        <v>25</v>
      </c>
      <c r="F1" s="12" t="s">
        <v>26</v>
      </c>
      <c r="G1" s="12"/>
    </row>
    <row r="2" spans="1:7" x14ac:dyDescent="0.2">
      <c r="A2" s="1">
        <v>2009</v>
      </c>
      <c r="B2" s="3">
        <v>4478.3500000000004</v>
      </c>
      <c r="C2">
        <v>93.143836887221397</v>
      </c>
      <c r="D2">
        <v>4237.9826042646655</v>
      </c>
      <c r="E2">
        <v>4265.9257553308325</v>
      </c>
      <c r="F2">
        <v>4293.8689063969987</v>
      </c>
    </row>
    <row r="3" spans="1:7" x14ac:dyDescent="0.2">
      <c r="A3" s="1">
        <v>2010</v>
      </c>
      <c r="B3" s="3">
        <v>5276.66</v>
      </c>
      <c r="C3">
        <v>340.85338385821461</v>
      </c>
      <c r="D3">
        <v>4535.2340606298576</v>
      </c>
      <c r="E3">
        <v>4637.490075787322</v>
      </c>
      <c r="F3">
        <v>4739.7460909447864</v>
      </c>
    </row>
    <row r="4" spans="1:7" x14ac:dyDescent="0.2">
      <c r="A4" s="1">
        <v>2011</v>
      </c>
      <c r="B4" s="3">
        <v>6480.41</v>
      </c>
      <c r="C4">
        <v>1323.0030942251144</v>
      </c>
      <c r="D4">
        <v>5713.8137130701371</v>
      </c>
      <c r="E4">
        <v>6110.7146413376722</v>
      </c>
      <c r="F4">
        <v>6507.6155696052065</v>
      </c>
    </row>
    <row r="5" spans="1:7" x14ac:dyDescent="0.2">
      <c r="A5" s="1">
        <v>2012</v>
      </c>
      <c r="B5" s="3">
        <v>7383.27</v>
      </c>
      <c r="C5">
        <v>1721.2123668280808</v>
      </c>
      <c r="D5">
        <v>6191.6648401936964</v>
      </c>
      <c r="E5">
        <v>6708.0285502421211</v>
      </c>
      <c r="F5">
        <v>7224.3922602905459</v>
      </c>
    </row>
    <row r="6" spans="1:7" x14ac:dyDescent="0.2">
      <c r="A6" s="1">
        <v>2013</v>
      </c>
      <c r="B6" s="3">
        <v>8331.9699999999993</v>
      </c>
      <c r="C6">
        <v>2128.0143991941818</v>
      </c>
      <c r="D6">
        <v>6679.8272790330175</v>
      </c>
      <c r="E6">
        <v>7318.2315987912725</v>
      </c>
      <c r="F6">
        <v>7956.6359185495276</v>
      </c>
    </row>
    <row r="7" spans="1:7" x14ac:dyDescent="0.2">
      <c r="A7" s="1">
        <v>2014</v>
      </c>
      <c r="B7" s="3">
        <v>9489.7999999999993</v>
      </c>
      <c r="C7">
        <v>2500.7940791846149</v>
      </c>
      <c r="D7">
        <v>7127.1628950215381</v>
      </c>
      <c r="E7">
        <v>7877.4011187769229</v>
      </c>
      <c r="F7">
        <v>8627.6393425323076</v>
      </c>
    </row>
    <row r="8" spans="1:7" x14ac:dyDescent="0.2">
      <c r="A8" s="1">
        <v>2015</v>
      </c>
      <c r="B8" s="3">
        <v>10504.7</v>
      </c>
      <c r="C8">
        <v>3007.3527315434994</v>
      </c>
      <c r="D8">
        <v>7735.0332778521988</v>
      </c>
      <c r="E8">
        <v>8637.2390973152505</v>
      </c>
      <c r="F8">
        <v>9539.4449167782986</v>
      </c>
    </row>
    <row r="9" spans="1:7" x14ac:dyDescent="0.2">
      <c r="A9" s="1">
        <v>2016</v>
      </c>
      <c r="B9" s="3">
        <v>11548.793718000001</v>
      </c>
      <c r="C9">
        <v>3505.8908733942089</v>
      </c>
      <c r="D9">
        <v>8333.2790480730509</v>
      </c>
      <c r="E9">
        <v>9385.0463100913148</v>
      </c>
      <c r="F9">
        <v>10436.813572109575</v>
      </c>
    </row>
    <row r="10" spans="1:7" x14ac:dyDescent="0.2">
      <c r="A10" s="1">
        <v>2017</v>
      </c>
      <c r="B10" s="3">
        <v>12637.9101810187</v>
      </c>
      <c r="C10">
        <v>4314.9600912705746</v>
      </c>
      <c r="D10">
        <v>9304.1621095246883</v>
      </c>
      <c r="E10">
        <v>10598.650136905861</v>
      </c>
      <c r="F10">
        <v>11893.138164287035</v>
      </c>
    </row>
    <row r="11" spans="1:7" x14ac:dyDescent="0.2">
      <c r="A11" s="1">
        <v>2018</v>
      </c>
      <c r="B11" s="3">
        <v>13781.224845810701</v>
      </c>
      <c r="C11">
        <v>4732.70836440519</v>
      </c>
      <c r="D11">
        <v>9805.4600372862278</v>
      </c>
      <c r="E11">
        <v>11225.272546607786</v>
      </c>
      <c r="F11">
        <v>12645.085055929343</v>
      </c>
    </row>
    <row r="12" spans="1:7" x14ac:dyDescent="0.2">
      <c r="A12" s="1">
        <v>2019</v>
      </c>
      <c r="B12" s="3">
        <v>15133.265423836499</v>
      </c>
      <c r="C12">
        <v>5401.8577301658033</v>
      </c>
      <c r="D12">
        <v>10608.439276198964</v>
      </c>
      <c r="E12">
        <v>12228.996595248704</v>
      </c>
      <c r="F12">
        <v>13849.553914298445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3BBD6-CF39-F94E-BBD0-FA49492A4C91}">
  <dimension ref="A1:O17"/>
  <sheetViews>
    <sheetView zoomScale="93" workbookViewId="0">
      <selection activeCell="A13" sqref="A13:XFD13"/>
    </sheetView>
  </sheetViews>
  <sheetFormatPr baseColWidth="10" defaultRowHeight="16" x14ac:dyDescent="0.2"/>
  <cols>
    <col min="2" max="2" width="14.1640625" bestFit="1" customWidth="1"/>
    <col min="3" max="3" width="19" bestFit="1" customWidth="1"/>
    <col min="4" max="4" width="14.5" bestFit="1" customWidth="1"/>
    <col min="5" max="5" width="27.6640625" bestFit="1" customWidth="1"/>
    <col min="6" max="6" width="31.83203125" bestFit="1" customWidth="1"/>
    <col min="7" max="7" width="28.83203125" bestFit="1" customWidth="1"/>
    <col min="8" max="8" width="40.1640625" style="9" bestFit="1" customWidth="1"/>
    <col min="9" max="9" width="30.1640625" bestFit="1" customWidth="1"/>
    <col min="10" max="10" width="41.33203125" style="9" bestFit="1" customWidth="1"/>
    <col min="11" max="11" width="50.1640625" style="9" bestFit="1" customWidth="1"/>
    <col min="12" max="12" width="63.83203125" style="9" bestFit="1" customWidth="1"/>
    <col min="13" max="13" width="25.6640625" bestFit="1" customWidth="1"/>
    <col min="14" max="14" width="26.33203125" bestFit="1" customWidth="1"/>
    <col min="15" max="15" width="26.6640625" bestFit="1" customWidth="1"/>
  </cols>
  <sheetData>
    <row r="1" spans="1:15" x14ac:dyDescent="0.2">
      <c r="A1" s="1" t="s">
        <v>14</v>
      </c>
      <c r="B1" s="1" t="s">
        <v>13</v>
      </c>
      <c r="C1" s="1" t="s">
        <v>12</v>
      </c>
      <c r="D1" s="2" t="s">
        <v>11</v>
      </c>
      <c r="E1" s="1" t="s">
        <v>0</v>
      </c>
      <c r="F1" s="1" t="s">
        <v>1</v>
      </c>
      <c r="G1" s="3" t="s">
        <v>2</v>
      </c>
      <c r="H1" s="8" t="s">
        <v>4</v>
      </c>
      <c r="I1" s="3" t="s">
        <v>3</v>
      </c>
      <c r="J1" s="8" t="s">
        <v>5</v>
      </c>
      <c r="K1" s="8" t="s">
        <v>7</v>
      </c>
      <c r="L1" s="8" t="s">
        <v>6</v>
      </c>
      <c r="M1" s="10" t="s">
        <v>8</v>
      </c>
      <c r="N1" s="11" t="s">
        <v>9</v>
      </c>
      <c r="O1" s="11" t="s">
        <v>10</v>
      </c>
    </row>
    <row r="2" spans="1:15" x14ac:dyDescent="0.2">
      <c r="A2" s="1">
        <v>2008</v>
      </c>
      <c r="B2" s="4">
        <v>2839</v>
      </c>
      <c r="C2" s="4">
        <v>49.99</v>
      </c>
      <c r="D2" s="2">
        <f t="shared" ref="D2:D13" si="0">(1-C2/100)*B2*10000</f>
        <v>14197838.999999998</v>
      </c>
      <c r="E2" s="1">
        <v>76329999.304529995</v>
      </c>
      <c r="F2" s="2">
        <v>13469999.877269998</v>
      </c>
      <c r="G2" s="3">
        <f t="shared" ref="G2:G13" si="1">E2/D2</f>
        <v>5.3761702259428361</v>
      </c>
      <c r="H2" s="8">
        <f>1.5*(G2)</f>
        <v>8.0642553389142542</v>
      </c>
      <c r="I2" s="3">
        <f t="shared" ref="I2:I13" si="2">F2/D2</f>
        <v>0.9487359222252062</v>
      </c>
      <c r="J2" s="8">
        <f>1.5*I2</f>
        <v>1.4231038833378093</v>
      </c>
      <c r="K2" s="8">
        <v>4126.21</v>
      </c>
      <c r="L2" s="8">
        <f t="shared" ref="L2:L13" si="3">N2/K2</f>
        <v>3.482021031406545</v>
      </c>
      <c r="M2" s="3">
        <v>4126.21</v>
      </c>
      <c r="N2" s="3">
        <v>14367.55</v>
      </c>
      <c r="O2" s="3">
        <v>3.482021031406545</v>
      </c>
    </row>
    <row r="3" spans="1:15" x14ac:dyDescent="0.2">
      <c r="A3" s="1">
        <v>2009</v>
      </c>
      <c r="B3" s="4">
        <v>2859</v>
      </c>
      <c r="C3" s="4">
        <v>51.59</v>
      </c>
      <c r="D3" s="2">
        <f t="shared" si="0"/>
        <v>13840419</v>
      </c>
      <c r="E3" s="1">
        <v>1095777270.3187799</v>
      </c>
      <c r="F3" s="2">
        <v>193372459.46801999</v>
      </c>
      <c r="G3" s="3">
        <f t="shared" si="1"/>
        <v>79.172261354138186</v>
      </c>
      <c r="H3" s="8">
        <f t="shared" ref="H3:H13" si="4">1.5*(G3)</f>
        <v>118.75839203120728</v>
      </c>
      <c r="I3" s="3">
        <f t="shared" si="2"/>
        <v>13.971575533083211</v>
      </c>
      <c r="J3" s="8">
        <f t="shared" ref="J3:J13" si="5">1.5*I3</f>
        <v>20.957363299624816</v>
      </c>
      <c r="K3" s="8">
        <f>4126.21+H3+J3</f>
        <v>4265.9257553308316</v>
      </c>
      <c r="L3" s="8">
        <f t="shared" si="3"/>
        <v>3.6917356051778394</v>
      </c>
      <c r="M3" s="3">
        <v>4478.3500000000004</v>
      </c>
      <c r="N3" s="3">
        <v>15748.67</v>
      </c>
      <c r="O3" s="3">
        <v>3.5166233099244137</v>
      </c>
    </row>
    <row r="4" spans="1:15" x14ac:dyDescent="0.2">
      <c r="A4" s="1">
        <v>2010</v>
      </c>
      <c r="B4" s="4">
        <v>2884.62</v>
      </c>
      <c r="C4" s="4">
        <v>53.02</v>
      </c>
      <c r="D4" s="2">
        <f t="shared" si="0"/>
        <v>13551944.76</v>
      </c>
      <c r="E4" s="1">
        <v>3926342294.90976</v>
      </c>
      <c r="F4" s="2">
        <v>692883934.39584005</v>
      </c>
      <c r="G4" s="3">
        <f t="shared" si="1"/>
        <v>289.72537627948242</v>
      </c>
      <c r="H4" s="8">
        <f t="shared" si="4"/>
        <v>434.58806441922366</v>
      </c>
      <c r="I4" s="3">
        <f t="shared" si="2"/>
        <v>51.128007578732195</v>
      </c>
      <c r="J4" s="8">
        <f t="shared" si="5"/>
        <v>76.692011368098292</v>
      </c>
      <c r="K4" s="8">
        <f t="shared" ref="K4:K13" si="6">4126.21+H4+J4</f>
        <v>4637.490075787322</v>
      </c>
      <c r="L4" s="8">
        <f t="shared" si="3"/>
        <v>3.7805859879977128</v>
      </c>
      <c r="M4" s="3">
        <v>5276.66</v>
      </c>
      <c r="N4" s="3">
        <v>17532.43</v>
      </c>
      <c r="O4" s="3">
        <v>3.3226378049751171</v>
      </c>
    </row>
    <row r="5" spans="1:15" x14ac:dyDescent="0.2">
      <c r="A5" s="1">
        <v>2011</v>
      </c>
      <c r="B5" s="4">
        <v>2944.43</v>
      </c>
      <c r="C5" s="4">
        <v>54.98</v>
      </c>
      <c r="D5" s="2">
        <f t="shared" si="0"/>
        <v>13255823.860000001</v>
      </c>
      <c r="E5" s="1">
        <v>14906871585.790634</v>
      </c>
      <c r="F5" s="2">
        <v>2630624397.492465</v>
      </c>
      <c r="G5" s="3">
        <f t="shared" si="1"/>
        <v>1124.5526300913471</v>
      </c>
      <c r="H5" s="8">
        <f t="shared" si="4"/>
        <v>1686.8289451370206</v>
      </c>
      <c r="I5" s="3">
        <f t="shared" si="2"/>
        <v>198.45046413376716</v>
      </c>
      <c r="J5" s="8">
        <f t="shared" si="5"/>
        <v>297.67569620065075</v>
      </c>
      <c r="K5" s="8">
        <f t="shared" si="6"/>
        <v>6110.7146413376722</v>
      </c>
      <c r="L5" s="8">
        <f t="shared" si="3"/>
        <v>3.3138022618525058</v>
      </c>
      <c r="M5" s="3">
        <v>6480.41</v>
      </c>
      <c r="N5" s="3">
        <v>20249.7</v>
      </c>
      <c r="O5" s="3">
        <v>3.124755995376836</v>
      </c>
    </row>
    <row r="6" spans="1:15" x14ac:dyDescent="0.2">
      <c r="A6" s="1">
        <v>2012</v>
      </c>
      <c r="B6" s="4">
        <v>2974.88</v>
      </c>
      <c r="C6" s="4">
        <v>56.64</v>
      </c>
      <c r="D6" s="2">
        <f t="shared" si="0"/>
        <v>12899079.68</v>
      </c>
      <c r="E6" s="1">
        <v>18871747146.029282</v>
      </c>
      <c r="F6" s="2">
        <v>3330308319.8875203</v>
      </c>
      <c r="G6" s="3">
        <f t="shared" si="1"/>
        <v>1463.0305118038686</v>
      </c>
      <c r="H6" s="8">
        <f t="shared" si="4"/>
        <v>2194.545767705803</v>
      </c>
      <c r="I6" s="3">
        <f t="shared" si="2"/>
        <v>258.1818550242121</v>
      </c>
      <c r="J6" s="8">
        <f t="shared" si="5"/>
        <v>387.27278253631812</v>
      </c>
      <c r="K6" s="8">
        <f t="shared" si="6"/>
        <v>6708.0285502421211</v>
      </c>
      <c r="L6" s="8">
        <f t="shared" si="3"/>
        <v>3.4239776751055988</v>
      </c>
      <c r="M6" s="3">
        <v>7383.27</v>
      </c>
      <c r="N6" s="3">
        <v>22968.14</v>
      </c>
      <c r="O6" s="3">
        <v>3.1108357137149256</v>
      </c>
    </row>
    <row r="7" spans="1:15" x14ac:dyDescent="0.2">
      <c r="A7" s="1">
        <v>2013</v>
      </c>
      <c r="B7" s="4">
        <v>3011.03</v>
      </c>
      <c r="C7" s="4">
        <v>58.29</v>
      </c>
      <c r="D7" s="2">
        <f t="shared" si="0"/>
        <v>12559006.130000003</v>
      </c>
      <c r="E7" s="1">
        <v>22716884001.576801</v>
      </c>
      <c r="F7" s="2">
        <v>4008861882.6311998</v>
      </c>
      <c r="G7" s="3">
        <f t="shared" si="1"/>
        <v>1808.8122393150545</v>
      </c>
      <c r="H7" s="8">
        <f t="shared" si="4"/>
        <v>2713.2183589725819</v>
      </c>
      <c r="I7" s="3">
        <f t="shared" si="2"/>
        <v>319.20215987912724</v>
      </c>
      <c r="J7" s="8">
        <f t="shared" si="5"/>
        <v>478.80323981869083</v>
      </c>
      <c r="K7" s="8">
        <f t="shared" si="6"/>
        <v>7318.2315987912725</v>
      </c>
      <c r="L7" s="8">
        <f t="shared" si="3"/>
        <v>3.4456589217762477</v>
      </c>
      <c r="M7" s="3">
        <v>8331.9699999999993</v>
      </c>
      <c r="N7" s="3">
        <v>25216.13</v>
      </c>
      <c r="O7" s="3">
        <v>3.0264307240664574</v>
      </c>
    </row>
    <row r="8" spans="1:15" x14ac:dyDescent="0.2">
      <c r="A8" s="1">
        <v>2014</v>
      </c>
      <c r="B8" s="4">
        <v>3043.48</v>
      </c>
      <c r="C8" s="4">
        <v>59.74</v>
      </c>
      <c r="D8" s="2">
        <f t="shared" si="0"/>
        <v>12253050.479999999</v>
      </c>
      <c r="E8" s="1">
        <v>26046002678.48407</v>
      </c>
      <c r="F8" s="2">
        <v>4596353413.8501301</v>
      </c>
      <c r="G8" s="3">
        <f t="shared" si="1"/>
        <v>2125.6749673069226</v>
      </c>
      <c r="H8" s="8">
        <f t="shared" si="4"/>
        <v>3188.5124509603838</v>
      </c>
      <c r="I8" s="3">
        <f t="shared" si="2"/>
        <v>375.11911187769226</v>
      </c>
      <c r="J8" s="8">
        <f t="shared" si="5"/>
        <v>562.67866781653834</v>
      </c>
      <c r="K8" s="8">
        <f t="shared" si="6"/>
        <v>7877.401118776922</v>
      </c>
      <c r="L8" s="8">
        <f t="shared" si="3"/>
        <v>3.192321886473195</v>
      </c>
      <c r="M8" s="3">
        <v>9489.7999999999993</v>
      </c>
      <c r="N8" s="3">
        <v>25147.200000000001</v>
      </c>
      <c r="O8" s="3">
        <v>2.649918860249953</v>
      </c>
    </row>
    <row r="9" spans="1:15" x14ac:dyDescent="0.2">
      <c r="A9" s="1">
        <v>2015</v>
      </c>
      <c r="B9" s="4">
        <v>3070.02</v>
      </c>
      <c r="C9" s="4">
        <v>61.47</v>
      </c>
      <c r="D9" s="2">
        <f t="shared" si="0"/>
        <v>11828787.060000001</v>
      </c>
      <c r="E9" s="1">
        <v>30237334814.376793</v>
      </c>
      <c r="F9" s="2">
        <v>5336000261.36061</v>
      </c>
      <c r="G9" s="3">
        <f t="shared" si="1"/>
        <v>2556.2498218119745</v>
      </c>
      <c r="H9" s="8">
        <f t="shared" si="4"/>
        <v>3834.3747327179617</v>
      </c>
      <c r="I9" s="3">
        <f t="shared" si="2"/>
        <v>451.1029097315249</v>
      </c>
      <c r="J9" s="8">
        <f t="shared" si="5"/>
        <v>676.65436459728733</v>
      </c>
      <c r="K9" s="8">
        <f t="shared" si="6"/>
        <v>8637.2390973152487</v>
      </c>
      <c r="L9" s="8">
        <f t="shared" si="3"/>
        <v>3.1536466332704345</v>
      </c>
      <c r="M9" s="3">
        <v>10504.7</v>
      </c>
      <c r="N9" s="3">
        <v>27238.799999999999</v>
      </c>
      <c r="O9" s="3">
        <v>2.5930107475701352</v>
      </c>
    </row>
    <row r="10" spans="1:15" x14ac:dyDescent="0.2">
      <c r="A10" s="1">
        <v>2016</v>
      </c>
      <c r="B10" s="4">
        <v>3109.96</v>
      </c>
      <c r="C10" s="4">
        <v>63.33</v>
      </c>
      <c r="D10" s="2">
        <f t="shared" si="0"/>
        <v>11404223.32</v>
      </c>
      <c r="E10" s="1">
        <v>33984668087.376793</v>
      </c>
      <c r="F10" s="2">
        <v>5997294368.36061</v>
      </c>
      <c r="G10" s="3">
        <f t="shared" si="1"/>
        <v>2980.0072423850775</v>
      </c>
      <c r="H10" s="8">
        <f t="shared" si="4"/>
        <v>4470.010863577616</v>
      </c>
      <c r="I10" s="3">
        <f t="shared" si="2"/>
        <v>525.88363100913125</v>
      </c>
      <c r="J10" s="8">
        <f t="shared" si="5"/>
        <v>788.82544651369687</v>
      </c>
      <c r="K10" s="8">
        <f t="shared" si="6"/>
        <v>9385.0463100913112</v>
      </c>
      <c r="L10" s="8">
        <f t="shared" si="3"/>
        <v>3.1550151973317129</v>
      </c>
      <c r="M10" s="3">
        <v>11548.793718000001</v>
      </c>
      <c r="N10" s="3">
        <v>29609.963736000002</v>
      </c>
      <c r="O10" s="3">
        <v>2.5639009977163054</v>
      </c>
    </row>
    <row r="11" spans="1:15" x14ac:dyDescent="0.2">
      <c r="A11" s="1">
        <v>2017</v>
      </c>
      <c r="B11" s="4">
        <v>3143.51</v>
      </c>
      <c r="C11" s="4">
        <v>65</v>
      </c>
      <c r="D11" s="2">
        <f t="shared" si="0"/>
        <v>11002285</v>
      </c>
      <c r="E11" s="1">
        <v>40353257584.617142</v>
      </c>
      <c r="F11" s="2">
        <v>7121163103.1677313</v>
      </c>
      <c r="G11" s="3">
        <f t="shared" si="1"/>
        <v>3667.7160775799885</v>
      </c>
      <c r="H11" s="8">
        <f t="shared" si="4"/>
        <v>5501.5741163699822</v>
      </c>
      <c r="I11" s="3">
        <f t="shared" si="2"/>
        <v>647.24401369058626</v>
      </c>
      <c r="J11" s="8">
        <f t="shared" si="5"/>
        <v>970.86602053587944</v>
      </c>
      <c r="K11" s="8">
        <f t="shared" si="6"/>
        <v>10598.650136905861</v>
      </c>
      <c r="L11" s="8">
        <f t="shared" si="3"/>
        <v>3.0374837781812842</v>
      </c>
      <c r="M11" s="3">
        <v>12637.9101810187</v>
      </c>
      <c r="N11" s="3">
        <v>32193.227861470401</v>
      </c>
      <c r="O11" s="3">
        <v>2.5473537476015999</v>
      </c>
    </row>
    <row r="12" spans="1:15" x14ac:dyDescent="0.2">
      <c r="A12" s="1">
        <v>2018</v>
      </c>
      <c r="B12" s="4">
        <v>3163.14</v>
      </c>
      <c r="C12" s="4">
        <v>66.61</v>
      </c>
      <c r="D12" s="2">
        <f t="shared" si="0"/>
        <v>10561724.459999997</v>
      </c>
      <c r="E12" s="1">
        <v>42487727440.227142</v>
      </c>
      <c r="F12" s="2">
        <v>7497834254.1577311</v>
      </c>
      <c r="G12" s="3">
        <f t="shared" si="1"/>
        <v>4022.8021097444112</v>
      </c>
      <c r="H12" s="8">
        <f t="shared" si="4"/>
        <v>6034.203164616617</v>
      </c>
      <c r="I12" s="3">
        <f t="shared" si="2"/>
        <v>709.90625466077847</v>
      </c>
      <c r="J12" s="8">
        <f t="shared" si="5"/>
        <v>1064.8593819911678</v>
      </c>
      <c r="K12" s="8">
        <f t="shared" si="6"/>
        <v>11225.272546607785</v>
      </c>
      <c r="L12" s="8">
        <f t="shared" si="3"/>
        <v>3.108102754735524</v>
      </c>
      <c r="M12" s="3">
        <v>13781.224845810701</v>
      </c>
      <c r="N12" s="3">
        <v>34889.300524768703</v>
      </c>
      <c r="O12" s="3">
        <v>2.5316545455953841</v>
      </c>
    </row>
    <row r="13" spans="1:15" x14ac:dyDescent="0.2">
      <c r="A13" s="1">
        <v>2019</v>
      </c>
      <c r="B13" s="4">
        <v>3187.84</v>
      </c>
      <c r="C13" s="4">
        <v>68.239999999999995</v>
      </c>
      <c r="D13" s="2">
        <f t="shared" si="0"/>
        <v>10124579.840000004</v>
      </c>
      <c r="E13" s="1">
        <v>46487808892.377144</v>
      </c>
      <c r="F13" s="2">
        <v>8203730981.0077305</v>
      </c>
      <c r="G13" s="3">
        <f t="shared" si="1"/>
        <v>4591.5790706409334</v>
      </c>
      <c r="H13" s="8">
        <f t="shared" si="4"/>
        <v>6887.3686059614001</v>
      </c>
      <c r="I13" s="3">
        <f t="shared" si="2"/>
        <v>810.27865952487048</v>
      </c>
      <c r="J13" s="8">
        <f t="shared" si="5"/>
        <v>1215.4179892873058</v>
      </c>
      <c r="K13" s="8">
        <f t="shared" si="6"/>
        <v>12228.996595248705</v>
      </c>
      <c r="L13" s="8">
        <f t="shared" si="3"/>
        <v>3.1023470141343621</v>
      </c>
      <c r="M13" s="3">
        <v>15133.265423836499</v>
      </c>
      <c r="N13" s="3">
        <v>37938.591073129101</v>
      </c>
      <c r="O13" s="3">
        <v>2.5069666070464733</v>
      </c>
    </row>
    <row r="14" spans="1:15" x14ac:dyDescent="0.2">
      <c r="A14" s="5"/>
      <c r="B14" s="6"/>
      <c r="C14" s="6"/>
      <c r="D14" s="7"/>
      <c r="E14" s="5"/>
      <c r="F14" s="7"/>
      <c r="G14" s="8"/>
      <c r="H14" s="8"/>
      <c r="I14" s="8"/>
      <c r="J14" s="8"/>
      <c r="K14" s="8"/>
      <c r="L14" s="8"/>
      <c r="M14" s="5"/>
      <c r="N14" s="5"/>
      <c r="O14" s="8"/>
    </row>
    <row r="15" spans="1:15" x14ac:dyDescent="0.2">
      <c r="A15" s="5"/>
      <c r="B15" s="6"/>
      <c r="C15" s="6"/>
      <c r="D15" s="7"/>
      <c r="E15" s="5"/>
      <c r="F15" s="7"/>
      <c r="G15" s="8"/>
      <c r="H15" s="8"/>
      <c r="I15" s="8"/>
      <c r="J15" s="8"/>
      <c r="K15" s="8"/>
      <c r="L15" s="8"/>
      <c r="M15" s="5"/>
      <c r="N15" s="5"/>
      <c r="O15" s="8"/>
    </row>
    <row r="16" spans="1:15" x14ac:dyDescent="0.2">
      <c r="A16" s="5"/>
      <c r="B16" s="6"/>
      <c r="C16" s="6"/>
      <c r="D16" s="7"/>
      <c r="E16" s="7"/>
      <c r="F16" s="7"/>
      <c r="G16" s="8"/>
      <c r="H16" s="8"/>
      <c r="I16" s="8"/>
      <c r="J16" s="8"/>
      <c r="K16" s="8"/>
      <c r="L16" s="8"/>
      <c r="M16" s="5"/>
      <c r="N16" s="5"/>
      <c r="O16" s="8"/>
    </row>
    <row r="17" spans="1:15" x14ac:dyDescent="0.2">
      <c r="A17" s="5"/>
      <c r="B17" s="6"/>
      <c r="C17" s="6"/>
      <c r="D17" s="7"/>
      <c r="E17" s="7"/>
      <c r="F17" s="7"/>
      <c r="G17" s="8"/>
      <c r="H17" s="8"/>
      <c r="I17" s="8"/>
      <c r="J17" s="8"/>
      <c r="K17" s="8"/>
      <c r="L17" s="8"/>
      <c r="M17" s="5"/>
      <c r="N17" s="5"/>
      <c r="O1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总算表</vt:lpstr>
      <vt:lpstr>收入比</vt:lpstr>
      <vt:lpstr>农村可支配收入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Ma</dc:creator>
  <cp:lastModifiedBy>Yao Ma</cp:lastModifiedBy>
  <dcterms:created xsi:type="dcterms:W3CDTF">2025-09-02T06:30:17Z</dcterms:created>
  <dcterms:modified xsi:type="dcterms:W3CDTF">2025-09-02T14:05:05Z</dcterms:modified>
</cp:coreProperties>
</file>